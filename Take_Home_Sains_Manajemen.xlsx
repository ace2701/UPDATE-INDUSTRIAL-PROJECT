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al 1" sheetId="1" state="visible" r:id="rId3"/>
    <sheet name="Soal 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<sst xmlns="http://schemas.openxmlformats.org/spreadsheetml/2006/main" count="218" uniqueCount="117">
  <si>
    <t xml:space="preserve">Nama : Celsi Alisa Nabila</t>
  </si>
  <si>
    <t xml:space="preserve">NIM : 26/591726/NPA/20047</t>
  </si>
  <si>
    <t xml:space="preserve">SOAL 1 - LINEAR PROGRAMMING (METODE SIMPLEX)</t>
  </si>
  <si>
    <t xml:space="preserve">Mata kuliah: Management Science (PACS262528)</t>
  </si>
  <si>
    <t xml:space="preserve">a. Formulasi LP</t>
  </si>
  <si>
    <t xml:space="preserve">Variabel keputusan:  x1 = jumlah Produk A,  x2 = jumlah Produk B,  x3 = jumlah Produk C</t>
  </si>
  <si>
    <t xml:space="preserve">Fungsi tujuan:  Maksimumkan Z = 4x1 + 5x2 + 6x3</t>
  </si>
  <si>
    <t xml:space="preserve">Kendala bahan baku:  2x1 + x2 + x3 &lt;= 14</t>
  </si>
  <si>
    <t xml:space="preserve">Kendala tenaga kerja:  x1 + 2x2 + x3 &lt;= 12</t>
  </si>
  <si>
    <t xml:space="preserve">Kendala waktu mesin:  x1 + x2 + 2x3 &lt;= 16</t>
  </si>
  <si>
    <t xml:space="preserve">Non-negatif:  x1, x2, x3 &gt;= 0</t>
  </si>
  <si>
    <t xml:space="preserve">Bentuk standar (ditambah slack s1, s2, s3):  Z - 4x1 - 5x2 - 6x3 = 0</t>
  </si>
  <si>
    <t xml:space="preserve">      2x1 + x2 + x3 + s1 = 14;   x1 + 2x2 + x3 + s2 = 12;   x1 + x2 + 2x3 + s3 = 16</t>
  </si>
  <si>
    <t xml:space="preserve">b. Penyelesaian dengan tabel simplex</t>
  </si>
  <si>
    <t xml:space="preserve">Catatan: tabel iterasi 0 diisi dari soal, iterasi berikutnya dihitung dengan rumus (baris pivot dibagi elemen pivot, baris lain dikurangi kelipatan baris pivot baru).</t>
  </si>
  <si>
    <t xml:space="preserve">Iterasi 0 (tabel awal)</t>
  </si>
  <si>
    <t xml:space="preserve">Basis</t>
  </si>
  <si>
    <t xml:space="preserve">x1</t>
  </si>
  <si>
    <t xml:space="preserve">x2</t>
  </si>
  <si>
    <t xml:space="preserve">x3</t>
  </si>
  <si>
    <t xml:space="preserve">s1</t>
  </si>
  <si>
    <t xml:space="preserve">s2</t>
  </si>
  <si>
    <t xml:space="preserve">s3</t>
  </si>
  <si>
    <t xml:space="preserve">RHS</t>
  </si>
  <si>
    <t xml:space="preserve">Rasio</t>
  </si>
  <si>
    <t xml:space="preserve">Z</t>
  </si>
  <si>
    <t xml:space="preserve">Kolom pivot = x3 (koefisien Z paling negatif, -6). Rasio terkecil = 8 pada baris s3, jadi s3 keluar dan x3 masuk. Elemen pivot = 2.</t>
  </si>
  <si>
    <t xml:space="preserve">Iterasi 1</t>
  </si>
  <si>
    <t xml:space="preserve">Kolom pivot = x2 (koefisien Z -2). Rasio terkecil = 8/3 pada baris s2, jadi s2 keluar dan x2 masuk. Elemen pivot = 3/2.</t>
  </si>
  <si>
    <t xml:space="preserve">Iterasi 2</t>
  </si>
  <si>
    <t xml:space="preserve">Kolom pivot = x1 (koefisien Z -1/3). Rasio terkecil = 7/2 pada baris s1, jadi s1 keluar dan x1 masuk. Elemen pivot = 4/3.</t>
  </si>
  <si>
    <t xml:space="preserve">Iterasi 3 (optimal)</t>
  </si>
  <si>
    <t xml:space="preserve">Semua koefisien pada baris Z sudah &gt;= 0, sehingga solusi sudah optimal.</t>
  </si>
  <si>
    <t xml:space="preserve">c - e. Hasil optimal</t>
  </si>
  <si>
    <t xml:space="preserve">x1 = jumlah Produk A</t>
  </si>
  <si>
    <t xml:space="preserve">x2 = jumlah Produk B</t>
  </si>
  <si>
    <t xml:space="preserve">x3 = jumlah Produk C</t>
  </si>
  <si>
    <t xml:space="preserve">Nilai maksimum fungsi objektif (Z)</t>
  </si>
  <si>
    <t xml:space="preserve">Sisa bahan baku (s1)</t>
  </si>
  <si>
    <t xml:space="preserve">Sisa tenaga kerja (s2)</t>
  </si>
  <si>
    <t xml:space="preserve">Sisa waktu mesin (s3)</t>
  </si>
  <si>
    <t xml:space="preserve">Ketiga kendala bernilai tepat (s1 = s2 = s3 = 0), sehingga seluruh bahan baku, tenaga kerja, dan waktu mesin habis terpakai.</t>
  </si>
  <si>
    <t xml:space="preserve">Koefisien Z pada s1, s2, s3 (1/4, 5/4, 9/4) adalah harga bayangan (shadow price) tiap sumber daya.</t>
  </si>
  <si>
    <t xml:space="preserve">f. Cek dengan Excel Solver</t>
  </si>
  <si>
    <t xml:space="preserve">Sumber Daya</t>
  </si>
  <si>
    <t xml:space="preserve">Produk A</t>
  </si>
  <si>
    <t xml:space="preserve">Produk B</t>
  </si>
  <si>
    <t xml:space="preserve">Produk C</t>
  </si>
  <si>
    <t xml:space="preserve">Pemakaian</t>
  </si>
  <si>
    <t xml:space="preserve">Kapasitas</t>
  </si>
  <si>
    <t xml:space="preserve">Sisa</t>
  </si>
  <si>
    <t xml:space="preserve">Status</t>
  </si>
  <si>
    <t xml:space="preserve">Bahan baku</t>
  </si>
  <si>
    <t xml:space="preserve">Tenaga kerja</t>
  </si>
  <si>
    <t xml:space="preserve">Waktu mesin</t>
  </si>
  <si>
    <t xml:space="preserve">Keuntungan/unit</t>
  </si>
  <si>
    <t xml:space="preserve">Jumlah produksi</t>
  </si>
  <si>
    <t xml:space="preserve">Total keuntungan (Z)</t>
  </si>
  <si>
    <t xml:space="preserve">Parameter Solver yang dipakai:</t>
  </si>
  <si>
    <t xml:space="preserve">Set Objective: B80 (Max)</t>
  </si>
  <si>
    <t xml:space="preserve">By Changing Variable Cells: B79:D79</t>
  </si>
  <si>
    <t xml:space="preserve">Subject to the Constraints: E74:E76 &lt;= F74:F76</t>
  </si>
  <si>
    <t xml:space="preserve">Make Unconstrained Variables Non-Negative: dicentang</t>
  </si>
  <si>
    <t xml:space="preserve">Solving Method: Simplex LP</t>
  </si>
  <si>
    <t xml:space="preserve">Keterangan: B79:D79 adalah hasil Solver. Hasilnya sama dengan tabel simplex (x1 = 3,5; x2 = 1,5; x3 = 5,5; Z = 54,5).</t>
  </si>
  <si>
    <t xml:space="preserve">Soal tidak meminta bilangan bulat, jadi tidak ada batasan integer.</t>
  </si>
  <si>
    <t xml:space="preserve">SOAL 2 - NETWORK FLOW</t>
  </si>
  <si>
    <t xml:space="preserve">a. Maximum flow dengan metode jalur augmentasi (Ford-Fulkerson). Kapasitas busur dibaca dari gambar soal.</t>
  </si>
  <si>
    <t xml:space="preserve">Jalur augmentasi</t>
  </si>
  <si>
    <t xml:space="preserve">S-A-C-T</t>
  </si>
  <si>
    <t xml:space="preserve">S-B-C-T</t>
  </si>
  <si>
    <t xml:space="preserve">S-B-D-T</t>
  </si>
  <si>
    <t xml:space="preserve">Bottleneck</t>
  </si>
  <si>
    <t xml:space="preserve">Busur</t>
  </si>
  <si>
    <t xml:space="preserve">Dari</t>
  </si>
  <si>
    <t xml:space="preserve">Ke</t>
  </si>
  <si>
    <t xml:space="preserve">Jalur 1</t>
  </si>
  <si>
    <t xml:space="preserve">Aliran 1</t>
  </si>
  <si>
    <t xml:space="preserve">Jalur 2</t>
  </si>
  <si>
    <t xml:space="preserve">Aliran 2</t>
  </si>
  <si>
    <t xml:space="preserve">Jalur 3</t>
  </si>
  <si>
    <t xml:space="preserve">Aliran 3</t>
  </si>
  <si>
    <t xml:space="preserve">Sisa kapasitas</t>
  </si>
  <si>
    <t xml:space="preserve">S-A</t>
  </si>
  <si>
    <t xml:space="preserve">S</t>
  </si>
  <si>
    <t xml:space="preserve">A</t>
  </si>
  <si>
    <t xml:space="preserve">S-B</t>
  </si>
  <si>
    <t xml:space="preserve">B</t>
  </si>
  <si>
    <t xml:space="preserve">A-C</t>
  </si>
  <si>
    <t xml:space="preserve">C</t>
  </si>
  <si>
    <t xml:space="preserve">A-B</t>
  </si>
  <si>
    <t xml:space="preserve">B-C</t>
  </si>
  <si>
    <t xml:space="preserve">B-D</t>
  </si>
  <si>
    <t xml:space="preserve">D</t>
  </si>
  <si>
    <t xml:space="preserve">C-D</t>
  </si>
  <si>
    <t xml:space="preserve">C-T</t>
  </si>
  <si>
    <t xml:space="preserve">T</t>
  </si>
  <si>
    <t xml:space="preserve">D-T</t>
  </si>
  <si>
    <t xml:space="preserve">Maximum flow (aliran masuk ke T)</t>
  </si>
  <si>
    <t xml:space="preserve">Pembuktian dengan minimum cut</t>
  </si>
  <si>
    <t xml:space="preserve">Setelah iterasi 3 tidak ada jalur dari S ke T yang masih punya sisa kapasitas. Himpunan node yang masih terjangkau dari S adalah {S, A, B, D}.</t>
  </si>
  <si>
    <t xml:space="preserve">Busur yang menyeberang dari {S, A, B, D} ke {C, T} adalah A-C, B-C, dan D-T.</t>
  </si>
  <si>
    <t xml:space="preserve">Kapasitas minimum cut</t>
  </si>
  <si>
    <t xml:space="preserve">Kapasitas cut sama dengan nilai aliran maksimum, sehingga aliran tersebut optimal.</t>
  </si>
  <si>
    <t xml:space="preserve">b. Maximum flow dengan Excel Solver</t>
  </si>
  <si>
    <t xml:space="preserve">Aliran</t>
  </si>
  <si>
    <t xml:space="preserve">Node</t>
  </si>
  <si>
    <t xml:space="preserve">Aliran masuk</t>
  </si>
  <si>
    <t xml:space="preserve">Aliran keluar</t>
  </si>
  <si>
    <t xml:space="preserve">Keluar - masuk</t>
  </si>
  <si>
    <t xml:space="preserve">Maximum flow</t>
  </si>
  <si>
    <t xml:space="preserve">Set Objective: B54 (Max)  [aliran keluar dari S]</t>
  </si>
  <si>
    <t xml:space="preserve">By Changing Variable Cells: E35:E43</t>
  </si>
  <si>
    <t xml:space="preserve">Subject to the Constraints: E35:E43 &lt;= D35:D43 (kapasitas busur)</t>
  </si>
  <si>
    <t xml:space="preserve">                                             D48:D51 = 0 (aliran masuk = aliran keluar di node A, B, C, D)</t>
  </si>
  <si>
    <t xml:space="preserve">Keterangan: E35:E43 adalah hasil Solver. Maximum flow = 23, sama dengan hasil jalur augmentasi dan minimum cut.</t>
  </si>
  <si>
    <t xml:space="preserve">Aliran masuk ke T (B52) juga 23, sehingga konservasi aliran terpenuhi.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</si>
</sst>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 ?/?"/>
    <numFmt numFmtId="166" formatCode="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9" min="2" style="0" width="11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1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1" t="s">
        <v>5</v>
      </c>
    </row>
    <row r="9" customFormat="false" ht="15" hidden="false" customHeight="false" outlineLevel="0" collapsed="false">
      <c r="A9" s="1" t="s">
        <v>6</v>
      </c>
    </row>
    <row r="10" customFormat="false" ht="15" hidden="false" customHeight="false" outlineLevel="0" collapsed="false">
      <c r="A10" s="1" t="s">
        <v>7</v>
      </c>
    </row>
    <row r="11" customFormat="false" ht="15" hidden="false" customHeight="false" outlineLevel="0" collapsed="false">
      <c r="A11" s="1" t="s">
        <v>8</v>
      </c>
    </row>
    <row r="12" customFormat="false" ht="15" hidden="false" customHeight="false" outlineLevel="0" collapsed="false">
      <c r="A12" s="1" t="s">
        <v>9</v>
      </c>
    </row>
    <row r="13" customFormat="false" ht="15" hidden="false" customHeight="false" outlineLevel="0" collapsed="false">
      <c r="A13" s="1" t="s">
        <v>10</v>
      </c>
    </row>
    <row r="14" customFormat="false" ht="15" hidden="false" customHeight="false" outlineLevel="0" collapsed="false">
      <c r="A14" s="1" t="s">
        <v>11</v>
      </c>
    </row>
    <row r="15" customFormat="false" ht="15" hidden="false" customHeight="false" outlineLevel="0" collapsed="false">
      <c r="A15" s="1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1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3" t="s">
        <v>16</v>
      </c>
      <c r="B21" s="3" t="s">
        <v>17</v>
      </c>
      <c r="C21" s="3" t="s">
        <v>18</v>
      </c>
      <c r="D21" s="3" t="s">
        <v>19</v>
      </c>
      <c r="E21" s="3" t="s">
        <v>20</v>
      </c>
      <c r="F21" s="3" t="s">
        <v>21</v>
      </c>
      <c r="G21" s="3" t="s">
        <v>22</v>
      </c>
      <c r="H21" s="3" t="s">
        <v>23</v>
      </c>
      <c r="I21" s="3" t="s">
        <v>24</v>
      </c>
    </row>
    <row r="22" customFormat="false" ht="15" hidden="false" customHeight="false" outlineLevel="0" collapsed="false">
      <c r="A22" s="3" t="s">
        <v>25</v>
      </c>
      <c r="B22" s="4" t="n">
        <v>-4</v>
      </c>
      <c r="C22" s="4" t="n">
        <v>-5</v>
      </c>
      <c r="D22" s="4" t="n">
        <v>-6</v>
      </c>
      <c r="E22" s="4" t="n">
        <v>0</v>
      </c>
      <c r="F22" s="4" t="n">
        <v>0</v>
      </c>
      <c r="G22" s="4" t="n">
        <v>0</v>
      </c>
      <c r="H22" s="4" t="n">
        <v>0</v>
      </c>
      <c r="I22" s="5"/>
    </row>
    <row r="23" customFormat="false" ht="15" hidden="false" customHeight="false" outlineLevel="0" collapsed="false">
      <c r="A23" s="3" t="s">
        <v>20</v>
      </c>
      <c r="B23" s="4" t="n">
        <v>2</v>
      </c>
      <c r="C23" s="4" t="n">
        <v>1</v>
      </c>
      <c r="D23" s="4" t="n">
        <v>1</v>
      </c>
      <c r="E23" s="4" t="n">
        <v>1</v>
      </c>
      <c r="F23" s="4" t="n">
        <v>0</v>
      </c>
      <c r="G23" s="4" t="n">
        <v>0</v>
      </c>
      <c r="H23" s="4" t="n">
        <v>14</v>
      </c>
      <c r="I23" s="4" t="n">
        <f aca="false">IF(D23&gt;0,H23/D23,"-")</f>
        <v>14</v>
      </c>
    </row>
    <row r="24" customFormat="false" ht="15" hidden="false" customHeight="false" outlineLevel="0" collapsed="false">
      <c r="A24" s="3" t="s">
        <v>21</v>
      </c>
      <c r="B24" s="4" t="n">
        <v>1</v>
      </c>
      <c r="C24" s="4" t="n">
        <v>2</v>
      </c>
      <c r="D24" s="4" t="n">
        <v>1</v>
      </c>
      <c r="E24" s="4" t="n">
        <v>0</v>
      </c>
      <c r="F24" s="4" t="n">
        <v>1</v>
      </c>
      <c r="G24" s="4" t="n">
        <v>0</v>
      </c>
      <c r="H24" s="4" t="n">
        <v>12</v>
      </c>
      <c r="I24" s="4" t="n">
        <f aca="false">IF(D24&gt;0,H24/D24,"-")</f>
        <v>12</v>
      </c>
    </row>
    <row r="25" customFormat="false" ht="15" hidden="false" customHeight="false" outlineLevel="0" collapsed="false">
      <c r="A25" s="3" t="s">
        <v>22</v>
      </c>
      <c r="B25" s="4" t="n">
        <v>1</v>
      </c>
      <c r="C25" s="4" t="n">
        <v>1</v>
      </c>
      <c r="D25" s="4" t="n">
        <v>2</v>
      </c>
      <c r="E25" s="4" t="n">
        <v>0</v>
      </c>
      <c r="F25" s="4" t="n">
        <v>0</v>
      </c>
      <c r="G25" s="4" t="n">
        <v>1</v>
      </c>
      <c r="H25" s="4" t="n">
        <v>16</v>
      </c>
      <c r="I25" s="4" t="n">
        <f aca="false">IF(D25&gt;0,H25/D25,"-")</f>
        <v>8</v>
      </c>
    </row>
    <row r="26" customFormat="false" ht="15" hidden="false" customHeight="false" outlineLevel="0" collapsed="false">
      <c r="A26" s="1" t="s">
        <v>26</v>
      </c>
    </row>
    <row r="29" customFormat="false" ht="15" hidden="false" customHeight="false" outlineLevel="0" collapsed="false">
      <c r="A29" s="2" t="s">
        <v>27</v>
      </c>
    </row>
    <row r="30" customFormat="false" ht="15" hidden="false" customHeight="false" outlineLevel="0" collapsed="false">
      <c r="A30" s="3" t="s">
        <v>16</v>
      </c>
      <c r="B30" s="3" t="s">
        <v>17</v>
      </c>
      <c r="C30" s="3" t="s">
        <v>18</v>
      </c>
      <c r="D30" s="3" t="s">
        <v>19</v>
      </c>
      <c r="E30" s="3" t="s">
        <v>20</v>
      </c>
      <c r="F30" s="3" t="s">
        <v>21</v>
      </c>
      <c r="G30" s="3" t="s">
        <v>22</v>
      </c>
      <c r="H30" s="3" t="s">
        <v>23</v>
      </c>
      <c r="I30" s="3" t="s">
        <v>24</v>
      </c>
    </row>
    <row r="31" customFormat="false" ht="15" hidden="false" customHeight="false" outlineLevel="0" collapsed="false">
      <c r="A31" s="3" t="s">
        <v>25</v>
      </c>
      <c r="B31" s="4" t="n">
        <f aca="false">B22-$D22*B34</f>
        <v>-1</v>
      </c>
      <c r="C31" s="4" t="n">
        <f aca="false">C22-$D22*C34</f>
        <v>-2</v>
      </c>
      <c r="D31" s="4" t="n">
        <f aca="false">D22-$D22*D34</f>
        <v>0</v>
      </c>
      <c r="E31" s="4" t="n">
        <f aca="false">E22-$D22*E34</f>
        <v>0</v>
      </c>
      <c r="F31" s="4" t="n">
        <f aca="false">F22-$D22*F34</f>
        <v>0</v>
      </c>
      <c r="G31" s="4" t="n">
        <f aca="false">G22-$D22*G34</f>
        <v>3</v>
      </c>
      <c r="H31" s="4" t="n">
        <f aca="false">H22-$D22*H34</f>
        <v>48</v>
      </c>
      <c r="I31" s="5"/>
    </row>
    <row r="32" customFormat="false" ht="15" hidden="false" customHeight="false" outlineLevel="0" collapsed="false">
      <c r="A32" s="3" t="s">
        <v>20</v>
      </c>
      <c r="B32" s="4" t="n">
        <f aca="false">B23-$D23*B34</f>
        <v>1.5</v>
      </c>
      <c r="C32" s="4" t="n">
        <f aca="false">C23-$D23*C34</f>
        <v>0.5</v>
      </c>
      <c r="D32" s="4" t="n">
        <f aca="false">D23-$D23*D34</f>
        <v>0</v>
      </c>
      <c r="E32" s="4" t="n">
        <f aca="false">E23-$D23*E34</f>
        <v>1</v>
      </c>
      <c r="F32" s="4" t="n">
        <f aca="false">F23-$D23*F34</f>
        <v>0</v>
      </c>
      <c r="G32" s="4" t="n">
        <f aca="false">G23-$D23*G34</f>
        <v>-0.5</v>
      </c>
      <c r="H32" s="4" t="n">
        <f aca="false">H23-$D23*H34</f>
        <v>6</v>
      </c>
      <c r="I32" s="4" t="n">
        <f aca="false">IF(C32&gt;0,H32/C32,"-")</f>
        <v>12</v>
      </c>
    </row>
    <row r="33" customFormat="false" ht="15" hidden="false" customHeight="false" outlineLevel="0" collapsed="false">
      <c r="A33" s="3" t="s">
        <v>21</v>
      </c>
      <c r="B33" s="4" t="n">
        <f aca="false">B24-$D24*B34</f>
        <v>0.5</v>
      </c>
      <c r="C33" s="4" t="n">
        <f aca="false">C24-$D24*C34</f>
        <v>1.5</v>
      </c>
      <c r="D33" s="4" t="n">
        <f aca="false">D24-$D24*D34</f>
        <v>0</v>
      </c>
      <c r="E33" s="4" t="n">
        <f aca="false">E24-$D24*E34</f>
        <v>0</v>
      </c>
      <c r="F33" s="4" t="n">
        <f aca="false">F24-$D24*F34</f>
        <v>1</v>
      </c>
      <c r="G33" s="4" t="n">
        <f aca="false">G24-$D24*G34</f>
        <v>-0.5</v>
      </c>
      <c r="H33" s="4" t="n">
        <f aca="false">H24-$D24*H34</f>
        <v>4</v>
      </c>
      <c r="I33" s="4" t="n">
        <f aca="false">IF(C33&gt;0,H33/C33,"-")</f>
        <v>2.66666666666667</v>
      </c>
    </row>
    <row r="34" customFormat="false" ht="15" hidden="false" customHeight="false" outlineLevel="0" collapsed="false">
      <c r="A34" s="3" t="s">
        <v>19</v>
      </c>
      <c r="B34" s="4" t="n">
        <f aca="false">B25/$D$25</f>
        <v>0.5</v>
      </c>
      <c r="C34" s="4" t="n">
        <f aca="false">C25/$D$25</f>
        <v>0.5</v>
      </c>
      <c r="D34" s="4" t="n">
        <f aca="false">D25/$D$25</f>
        <v>1</v>
      </c>
      <c r="E34" s="4" t="n">
        <f aca="false">E25/$D$25</f>
        <v>0</v>
      </c>
      <c r="F34" s="4" t="n">
        <f aca="false">F25/$D$25</f>
        <v>0</v>
      </c>
      <c r="G34" s="4" t="n">
        <f aca="false">G25/$D$25</f>
        <v>0.5</v>
      </c>
      <c r="H34" s="4" t="n">
        <f aca="false">H25/$D$25</f>
        <v>8</v>
      </c>
      <c r="I34" s="4" t="n">
        <f aca="false">IF(C34&gt;0,H34/C34,"-")</f>
        <v>16</v>
      </c>
    </row>
    <row r="35" customFormat="false" ht="15" hidden="false" customHeight="false" outlineLevel="0" collapsed="false">
      <c r="A35" s="1" t="s">
        <v>28</v>
      </c>
    </row>
    <row r="38" customFormat="false" ht="15" hidden="false" customHeight="false" outlineLevel="0" collapsed="false">
      <c r="A38" s="2" t="s">
        <v>29</v>
      </c>
    </row>
    <row r="39" customFormat="false" ht="15" hidden="false" customHeight="false" outlineLevel="0" collapsed="false">
      <c r="A39" s="3" t="s">
        <v>16</v>
      </c>
      <c r="B39" s="3" t="s">
        <v>17</v>
      </c>
      <c r="C39" s="3" t="s">
        <v>18</v>
      </c>
      <c r="D39" s="3" t="s">
        <v>19</v>
      </c>
      <c r="E39" s="3" t="s">
        <v>20</v>
      </c>
      <c r="F39" s="3" t="s">
        <v>21</v>
      </c>
      <c r="G39" s="3" t="s">
        <v>22</v>
      </c>
      <c r="H39" s="3" t="s">
        <v>23</v>
      </c>
      <c r="I39" s="3" t="s">
        <v>24</v>
      </c>
    </row>
    <row r="40" customFormat="false" ht="15" hidden="false" customHeight="false" outlineLevel="0" collapsed="false">
      <c r="A40" s="3" t="s">
        <v>25</v>
      </c>
      <c r="B40" s="4" t="n">
        <f aca="false">B31-$C31*B42</f>
        <v>-0.333333333333333</v>
      </c>
      <c r="C40" s="4" t="n">
        <f aca="false">C31-$C31*C42</f>
        <v>0</v>
      </c>
      <c r="D40" s="4" t="n">
        <f aca="false">D31-$C31*D42</f>
        <v>0</v>
      </c>
      <c r="E40" s="4" t="n">
        <f aca="false">E31-$C31*E42</f>
        <v>0</v>
      </c>
      <c r="F40" s="4" t="n">
        <f aca="false">F31-$C31*F42</f>
        <v>1.33333333333333</v>
      </c>
      <c r="G40" s="4" t="n">
        <f aca="false">G31-$C31*G42</f>
        <v>2.33333333333333</v>
      </c>
      <c r="H40" s="4" t="n">
        <f aca="false">H31-$C31*H42</f>
        <v>53.3333333333333</v>
      </c>
      <c r="I40" s="5"/>
    </row>
    <row r="41" customFormat="false" ht="15" hidden="false" customHeight="false" outlineLevel="0" collapsed="false">
      <c r="A41" s="3" t="s">
        <v>20</v>
      </c>
      <c r="B41" s="4" t="n">
        <f aca="false">B32-$C32*B42</f>
        <v>1.33333333333333</v>
      </c>
      <c r="C41" s="4" t="n">
        <f aca="false">C32-$C32*C42</f>
        <v>0</v>
      </c>
      <c r="D41" s="4" t="n">
        <f aca="false">D32-$C32*D42</f>
        <v>0</v>
      </c>
      <c r="E41" s="4" t="n">
        <f aca="false">E32-$C32*E42</f>
        <v>1</v>
      </c>
      <c r="F41" s="4" t="n">
        <f aca="false">F32-$C32*F42</f>
        <v>-0.333333333333333</v>
      </c>
      <c r="G41" s="4" t="n">
        <f aca="false">G32-$C32*G42</f>
        <v>-0.333333333333333</v>
      </c>
      <c r="H41" s="4" t="n">
        <f aca="false">H32-$C32*H42</f>
        <v>4.66666666666667</v>
      </c>
      <c r="I41" s="4" t="n">
        <f aca="false">IF(B41&gt;0,H41/B41,"-")</f>
        <v>3.5</v>
      </c>
    </row>
    <row r="42" customFormat="false" ht="15" hidden="false" customHeight="false" outlineLevel="0" collapsed="false">
      <c r="A42" s="3" t="s">
        <v>18</v>
      </c>
      <c r="B42" s="4" t="n">
        <f aca="false">B33/$C$33</f>
        <v>0.333333333333333</v>
      </c>
      <c r="C42" s="4" t="n">
        <f aca="false">C33/$C$33</f>
        <v>1</v>
      </c>
      <c r="D42" s="4" t="n">
        <f aca="false">D33/$C$33</f>
        <v>0</v>
      </c>
      <c r="E42" s="4" t="n">
        <f aca="false">E33/$C$33</f>
        <v>0</v>
      </c>
      <c r="F42" s="4" t="n">
        <f aca="false">F33/$C$33</f>
        <v>0.666666666666667</v>
      </c>
      <c r="G42" s="4" t="n">
        <f aca="false">G33/$C$33</f>
        <v>-0.333333333333333</v>
      </c>
      <c r="H42" s="4" t="n">
        <f aca="false">H33/$C$33</f>
        <v>2.66666666666667</v>
      </c>
      <c r="I42" s="4" t="n">
        <f aca="false">IF(B42&gt;0,H42/B42,"-")</f>
        <v>8</v>
      </c>
    </row>
    <row r="43" customFormat="false" ht="15" hidden="false" customHeight="false" outlineLevel="0" collapsed="false">
      <c r="A43" s="3" t="s">
        <v>19</v>
      </c>
      <c r="B43" s="4" t="n">
        <f aca="false">B34-$C34*B42</f>
        <v>0.333333333333333</v>
      </c>
      <c r="C43" s="4" t="n">
        <f aca="false">C34-$C34*C42</f>
        <v>0</v>
      </c>
      <c r="D43" s="4" t="n">
        <f aca="false">D34-$C34*D42</f>
        <v>1</v>
      </c>
      <c r="E43" s="4" t="n">
        <f aca="false">E34-$C34*E42</f>
        <v>0</v>
      </c>
      <c r="F43" s="4" t="n">
        <f aca="false">F34-$C34*F42</f>
        <v>-0.333333333333333</v>
      </c>
      <c r="G43" s="4" t="n">
        <f aca="false">G34-$C34*G42</f>
        <v>0.666666666666667</v>
      </c>
      <c r="H43" s="4" t="n">
        <f aca="false">H34-$C34*H42</f>
        <v>6.66666666666667</v>
      </c>
      <c r="I43" s="4" t="n">
        <f aca="false">IF(B43&gt;0,H43/B43,"-")</f>
        <v>20</v>
      </c>
    </row>
    <row r="44" customFormat="false" ht="15" hidden="false" customHeight="false" outlineLevel="0" collapsed="false">
      <c r="A44" s="1" t="s">
        <v>30</v>
      </c>
    </row>
    <row r="47" customFormat="false" ht="15" hidden="false" customHeight="false" outlineLevel="0" collapsed="false">
      <c r="A47" s="2" t="s">
        <v>31</v>
      </c>
    </row>
    <row r="48" customFormat="false" ht="15" hidden="false" customHeight="false" outlineLevel="0" collapsed="false">
      <c r="A48" s="3" t="s">
        <v>16</v>
      </c>
      <c r="B48" s="3" t="s">
        <v>17</v>
      </c>
      <c r="C48" s="3" t="s">
        <v>18</v>
      </c>
      <c r="D48" s="3" t="s">
        <v>19</v>
      </c>
      <c r="E48" s="3" t="s">
        <v>20</v>
      </c>
      <c r="F48" s="3" t="s">
        <v>21</v>
      </c>
      <c r="G48" s="3" t="s">
        <v>22</v>
      </c>
      <c r="H48" s="3" t="s">
        <v>23</v>
      </c>
      <c r="I48" s="3" t="s">
        <v>24</v>
      </c>
    </row>
    <row r="49" customFormat="false" ht="15" hidden="false" customHeight="false" outlineLevel="0" collapsed="false">
      <c r="A49" s="3" t="s">
        <v>25</v>
      </c>
      <c r="B49" s="4" t="n">
        <f aca="false">B40-$B40*B50</f>
        <v>0</v>
      </c>
      <c r="C49" s="4" t="n">
        <f aca="false">C40-$B40*C50</f>
        <v>0</v>
      </c>
      <c r="D49" s="4" t="n">
        <f aca="false">D40-$B40*D50</f>
        <v>0</v>
      </c>
      <c r="E49" s="4" t="n">
        <f aca="false">E40-$B40*E50</f>
        <v>0.25</v>
      </c>
      <c r="F49" s="4" t="n">
        <f aca="false">F40-$B40*F50</f>
        <v>1.25</v>
      </c>
      <c r="G49" s="4" t="n">
        <f aca="false">G40-$B40*G50</f>
        <v>2.25</v>
      </c>
      <c r="H49" s="4" t="n">
        <f aca="false">H40-$B40*H50</f>
        <v>54.5</v>
      </c>
      <c r="I49" s="5"/>
    </row>
    <row r="50" customFormat="false" ht="15" hidden="false" customHeight="false" outlineLevel="0" collapsed="false">
      <c r="A50" s="3" t="s">
        <v>17</v>
      </c>
      <c r="B50" s="4" t="n">
        <f aca="false">B41/$B$41</f>
        <v>1</v>
      </c>
      <c r="C50" s="4" t="n">
        <f aca="false">C41/$B$41</f>
        <v>0</v>
      </c>
      <c r="D50" s="4" t="n">
        <f aca="false">D41/$B$41</f>
        <v>0</v>
      </c>
      <c r="E50" s="4" t="n">
        <f aca="false">E41/$B$41</f>
        <v>0.75</v>
      </c>
      <c r="F50" s="4" t="n">
        <f aca="false">F41/$B$41</f>
        <v>-0.25</v>
      </c>
      <c r="G50" s="4" t="n">
        <f aca="false">G41/$B$41</f>
        <v>-0.25</v>
      </c>
      <c r="H50" s="4" t="n">
        <f aca="false">H41/$B$41</f>
        <v>3.5</v>
      </c>
      <c r="I50" s="5"/>
    </row>
    <row r="51" customFormat="false" ht="15" hidden="false" customHeight="false" outlineLevel="0" collapsed="false">
      <c r="A51" s="3" t="s">
        <v>18</v>
      </c>
      <c r="B51" s="4" t="n">
        <f aca="false">B42-$B42*B50</f>
        <v>0</v>
      </c>
      <c r="C51" s="4" t="n">
        <f aca="false">C42-$B42*C50</f>
        <v>1</v>
      </c>
      <c r="D51" s="4" t="n">
        <f aca="false">D42-$B42*D50</f>
        <v>0</v>
      </c>
      <c r="E51" s="4" t="n">
        <f aca="false">E42-$B42*E50</f>
        <v>-0.25</v>
      </c>
      <c r="F51" s="4" t="n">
        <f aca="false">F42-$B42*F50</f>
        <v>0.75</v>
      </c>
      <c r="G51" s="4" t="n">
        <f aca="false">G42-$B42*G50</f>
        <v>-0.25</v>
      </c>
      <c r="H51" s="4" t="n">
        <f aca="false">H42-$B42*H50</f>
        <v>1.5</v>
      </c>
      <c r="I51" s="5"/>
    </row>
    <row r="52" customFormat="false" ht="15" hidden="false" customHeight="false" outlineLevel="0" collapsed="false">
      <c r="A52" s="3" t="s">
        <v>19</v>
      </c>
      <c r="B52" s="4" t="n">
        <f aca="false">B43-$B43*B50</f>
        <v>0</v>
      </c>
      <c r="C52" s="4" t="n">
        <f aca="false">C43-$B43*C50</f>
        <v>0</v>
      </c>
      <c r="D52" s="4" t="n">
        <f aca="false">D43-$B43*D50</f>
        <v>1</v>
      </c>
      <c r="E52" s="4" t="n">
        <f aca="false">E43-$B43*E50</f>
        <v>-0.25</v>
      </c>
      <c r="F52" s="4" t="n">
        <f aca="false">F43-$B43*F50</f>
        <v>-0.25</v>
      </c>
      <c r="G52" s="4" t="n">
        <f aca="false">G43-$B43*G50</f>
        <v>0.75</v>
      </c>
      <c r="H52" s="4" t="n">
        <f aca="false">H43-$B43*H50</f>
        <v>5.5</v>
      </c>
      <c r="I52" s="5"/>
    </row>
    <row r="53" customFormat="false" ht="15" hidden="false" customHeight="false" outlineLevel="0" collapsed="false">
      <c r="A53" s="1" t="s">
        <v>32</v>
      </c>
    </row>
    <row r="56" customFormat="false" ht="15" hidden="false" customHeight="false" outlineLevel="0" collapsed="false">
      <c r="A56" s="2" t="s">
        <v>33</v>
      </c>
    </row>
    <row r="57" customFormat="false" ht="15" hidden="false" customHeight="false" outlineLevel="0" collapsed="false">
      <c r="A57" s="5" t="s">
        <v>34</v>
      </c>
      <c r="D57" s="6" t="n">
        <f aca="false">H50</f>
        <v>3.5</v>
      </c>
    </row>
    <row r="58" customFormat="false" ht="15" hidden="false" customHeight="false" outlineLevel="0" collapsed="false">
      <c r="A58" s="5" t="s">
        <v>35</v>
      </c>
      <c r="D58" s="6" t="n">
        <f aca="false">H51</f>
        <v>1.5</v>
      </c>
    </row>
    <row r="59" customFormat="false" ht="15" hidden="false" customHeight="false" outlineLevel="0" collapsed="false">
      <c r="A59" s="5" t="s">
        <v>36</v>
      </c>
      <c r="D59" s="6" t="n">
        <f aca="false">H52</f>
        <v>5.5</v>
      </c>
    </row>
    <row r="60" customFormat="false" ht="15" hidden="false" customHeight="false" outlineLevel="0" collapsed="false">
      <c r="A60" s="5" t="s">
        <v>37</v>
      </c>
      <c r="D60" s="6" t="n">
        <f aca="false">H49</f>
        <v>54.5</v>
      </c>
    </row>
    <row r="61" customFormat="false" ht="15" hidden="false" customHeight="false" outlineLevel="0" collapsed="false">
      <c r="A61" s="5" t="s">
        <v>38</v>
      </c>
      <c r="D61" s="6" t="n">
        <f aca="false">G74</f>
        <v>0</v>
      </c>
    </row>
    <row r="62" customFormat="false" ht="15" hidden="false" customHeight="false" outlineLevel="0" collapsed="false">
      <c r="A62" s="5" t="s">
        <v>39</v>
      </c>
      <c r="D62" s="6" t="n">
        <f aca="false">G75</f>
        <v>0</v>
      </c>
    </row>
    <row r="63" customFormat="false" ht="15" hidden="false" customHeight="false" outlineLevel="0" collapsed="false">
      <c r="A63" s="5" t="s">
        <v>40</v>
      </c>
      <c r="D63" s="6" t="n">
        <f aca="false">G76</f>
        <v>0</v>
      </c>
    </row>
    <row r="65" customFormat="false" ht="15" hidden="false" customHeight="false" outlineLevel="0" collapsed="false">
      <c r="A65" s="1" t="s">
        <v>41</v>
      </c>
    </row>
    <row r="66" customFormat="false" ht="15" hidden="false" customHeight="false" outlineLevel="0" collapsed="false">
      <c r="A66" s="1" t="s">
        <v>42</v>
      </c>
    </row>
    <row r="70" customFormat="false" ht="15" hidden="false" customHeight="false" outlineLevel="0" collapsed="false">
      <c r="A70" s="2" t="s">
        <v>43</v>
      </c>
    </row>
    <row r="73" customFormat="false" ht="15" hidden="false" customHeight="false" outlineLevel="0" collapsed="false">
      <c r="A73" s="3" t="s">
        <v>44</v>
      </c>
      <c r="B73" s="3" t="s">
        <v>45</v>
      </c>
      <c r="C73" s="3" t="s">
        <v>46</v>
      </c>
      <c r="D73" s="3" t="s">
        <v>47</v>
      </c>
      <c r="E73" s="3" t="s">
        <v>48</v>
      </c>
      <c r="F73" s="3" t="s">
        <v>49</v>
      </c>
      <c r="G73" s="3" t="s">
        <v>50</v>
      </c>
      <c r="H73" s="3" t="s">
        <v>51</v>
      </c>
    </row>
    <row r="74" customFormat="false" ht="15" hidden="false" customHeight="false" outlineLevel="0" collapsed="false">
      <c r="A74" s="5" t="s">
        <v>52</v>
      </c>
      <c r="B74" s="7" t="n">
        <v>2</v>
      </c>
      <c r="C74" s="7" t="n">
        <v>1</v>
      </c>
      <c r="D74" s="7" t="n">
        <v>1</v>
      </c>
      <c r="E74" s="6" t="n">
        <f aca="false">SUMPRODUCT(B74:D74,$B$79:$D$79)</f>
        <v>14</v>
      </c>
      <c r="F74" s="7" t="n">
        <v>14</v>
      </c>
      <c r="G74" s="6" t="n">
        <f aca="false">F74-E74</f>
        <v>0</v>
      </c>
      <c r="H74" s="7" t="str">
        <f aca="false">IF(E74&lt;=F74,"Terpenuhi","Melanggar")</f>
        <v>Terpenuhi</v>
      </c>
    </row>
    <row r="75" customFormat="false" ht="15" hidden="false" customHeight="false" outlineLevel="0" collapsed="false">
      <c r="A75" s="5" t="s">
        <v>53</v>
      </c>
      <c r="B75" s="7" t="n">
        <v>1</v>
      </c>
      <c r="C75" s="7" t="n">
        <v>2</v>
      </c>
      <c r="D75" s="7" t="n">
        <v>1</v>
      </c>
      <c r="E75" s="6" t="n">
        <f aca="false">SUMPRODUCT(B75:D75,$B$79:$D$79)</f>
        <v>12</v>
      </c>
      <c r="F75" s="7" t="n">
        <v>12</v>
      </c>
      <c r="G75" s="6" t="n">
        <f aca="false">F75-E75</f>
        <v>0</v>
      </c>
      <c r="H75" s="7" t="str">
        <f aca="false">IF(E75&lt;=F75,"Terpenuhi","Melanggar")</f>
        <v>Terpenuhi</v>
      </c>
    </row>
    <row r="76" customFormat="false" ht="15" hidden="false" customHeight="false" outlineLevel="0" collapsed="false">
      <c r="A76" s="5" t="s">
        <v>54</v>
      </c>
      <c r="B76" s="7" t="n">
        <v>1</v>
      </c>
      <c r="C76" s="7" t="n">
        <v>1</v>
      </c>
      <c r="D76" s="7" t="n">
        <v>2</v>
      </c>
      <c r="E76" s="6" t="n">
        <f aca="false">SUMPRODUCT(B76:D76,$B$79:$D$79)</f>
        <v>16</v>
      </c>
      <c r="F76" s="7" t="n">
        <v>16</v>
      </c>
      <c r="G76" s="6" t="n">
        <f aca="false">F76-E76</f>
        <v>0</v>
      </c>
      <c r="H76" s="7" t="str">
        <f aca="false">IF(E76&lt;=F76,"Terpenuhi","Melanggar")</f>
        <v>Terpenuhi</v>
      </c>
    </row>
    <row r="77" customFormat="false" ht="15" hidden="false" customHeight="false" outlineLevel="0" collapsed="false">
      <c r="A77" s="5" t="s">
        <v>55</v>
      </c>
      <c r="B77" s="7" t="n">
        <v>4</v>
      </c>
      <c r="C77" s="7" t="n">
        <v>5</v>
      </c>
      <c r="D77" s="7" t="n">
        <v>6</v>
      </c>
    </row>
    <row r="78" customFormat="false" ht="15" hidden="false" customHeight="false" outlineLevel="0" collapsed="false">
      <c r="B78" s="3" t="s">
        <v>17</v>
      </c>
      <c r="C78" s="3" t="s">
        <v>18</v>
      </c>
      <c r="D78" s="3" t="s">
        <v>19</v>
      </c>
    </row>
    <row r="79" customFormat="false" ht="15" hidden="false" customHeight="false" outlineLevel="0" collapsed="false">
      <c r="A79" s="8" t="s">
        <v>56</v>
      </c>
      <c r="B79" s="6" t="n">
        <v>3.5</v>
      </c>
      <c r="C79" s="6" t="n">
        <v>1.5</v>
      </c>
      <c r="D79" s="6" t="n">
        <v>5.5</v>
      </c>
    </row>
    <row r="80" customFormat="false" ht="15" hidden="false" customHeight="false" outlineLevel="0" collapsed="false">
      <c r="A80" s="8" t="s">
        <v>57</v>
      </c>
      <c r="B80" s="9" t="n">
        <f aca="false">SUMPRODUCT(B77:D77,B79:D79)</f>
        <v>54.5</v>
      </c>
    </row>
    <row r="82" customFormat="false" ht="15" hidden="false" customHeight="false" outlineLevel="0" collapsed="false">
      <c r="A82" s="2" t="s">
        <v>58</v>
      </c>
    </row>
    <row r="83" customFormat="false" ht="15" hidden="false" customHeight="false" outlineLevel="0" collapsed="false">
      <c r="A83" s="1" t="s">
        <v>59</v>
      </c>
    </row>
    <row r="84" customFormat="false" ht="15" hidden="false" customHeight="false" outlineLevel="0" collapsed="false">
      <c r="A84" s="1" t="s">
        <v>60</v>
      </c>
    </row>
    <row r="85" customFormat="false" ht="15" hidden="false" customHeight="false" outlineLevel="0" collapsed="false">
      <c r="A85" s="1" t="s">
        <v>61</v>
      </c>
    </row>
    <row r="86" customFormat="false" ht="15" hidden="false" customHeight="false" outlineLevel="0" collapsed="false">
      <c r="A86" s="1" t="s">
        <v>62</v>
      </c>
    </row>
    <row r="87" customFormat="false" ht="15" hidden="false" customHeight="false" outlineLevel="0" collapsed="false">
      <c r="A87" s="1" t="s">
        <v>63</v>
      </c>
    </row>
    <row r="88" customFormat="false" ht="15" hidden="false" customHeight="false" outlineLevel="0" collapsed="false">
      <c r="A88" s="1" t="s">
        <v>64</v>
      </c>
    </row>
    <row r="89" customFormat="false" ht="15" hidden="false" customHeight="false" outlineLevel="0" collapsed="false">
      <c r="A89" s="1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10" min="2" style="0" width="13"/>
    <col collapsed="false" customWidth="true" hidden="false" outlineLevel="0" max="11" min="11" style="0" width="15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4" customFormat="false" ht="15" hidden="false" customHeight="false" outlineLevel="0" collapsed="false">
      <c r="A4" s="2" t="s">
        <v>66</v>
      </c>
    </row>
    <row r="5" customFormat="false" ht="15" hidden="false" customHeight="false" outlineLevel="0" collapsed="false">
      <c r="A5" s="1" t="s">
        <v>67</v>
      </c>
    </row>
    <row r="7" customFormat="false" ht="15" hidden="false" customHeight="false" outlineLevel="0" collapsed="false">
      <c r="A7" s="2" t="s">
        <v>68</v>
      </c>
      <c r="E7" s="2" t="s">
        <v>69</v>
      </c>
      <c r="G7" s="2" t="s">
        <v>70</v>
      </c>
      <c r="I7" s="2" t="s">
        <v>71</v>
      </c>
    </row>
    <row r="8" customFormat="false" ht="15" hidden="false" customHeight="false" outlineLevel="0" collapsed="false">
      <c r="A8" s="2" t="s">
        <v>72</v>
      </c>
      <c r="E8" s="3" t="n">
        <f aca="false">MIN(D10,D12,D17)</f>
        <v>12</v>
      </c>
      <c r="G8" s="3" t="n">
        <f aca="false">MIN(D11-F11,D14-F14,D17-F17)</f>
        <v>4</v>
      </c>
      <c r="I8" s="3" t="n">
        <f aca="false">MIN(D11-H11,D15-H15,D18-H18)</f>
        <v>7</v>
      </c>
    </row>
    <row r="9" customFormat="false" ht="15" hidden="false" customHeight="false" outlineLevel="0" collapsed="false">
      <c r="A9" s="3" t="s">
        <v>73</v>
      </c>
      <c r="B9" s="3" t="s">
        <v>74</v>
      </c>
      <c r="C9" s="3" t="s">
        <v>75</v>
      </c>
      <c r="D9" s="3" t="s">
        <v>49</v>
      </c>
      <c r="E9" s="3" t="s">
        <v>76</v>
      </c>
      <c r="F9" s="3" t="s">
        <v>77</v>
      </c>
      <c r="G9" s="3" t="s">
        <v>78</v>
      </c>
      <c r="H9" s="3" t="s">
        <v>79</v>
      </c>
      <c r="I9" s="3" t="s">
        <v>80</v>
      </c>
      <c r="J9" s="3" t="s">
        <v>81</v>
      </c>
      <c r="K9" s="3" t="s">
        <v>82</v>
      </c>
    </row>
    <row r="10" customFormat="false" ht="15" hidden="false" customHeight="false" outlineLevel="0" collapsed="false">
      <c r="A10" s="7" t="s">
        <v>83</v>
      </c>
      <c r="B10" s="7" t="s">
        <v>84</v>
      </c>
      <c r="C10" s="7" t="s">
        <v>85</v>
      </c>
      <c r="D10" s="7" t="n">
        <v>16</v>
      </c>
      <c r="E10" s="7" t="n">
        <v>1</v>
      </c>
      <c r="F10" s="7" t="n">
        <f aca="false">E10*$E$8</f>
        <v>12</v>
      </c>
      <c r="G10" s="7"/>
      <c r="H10" s="7" t="n">
        <f aca="false">F10+G10*$G$8</f>
        <v>12</v>
      </c>
      <c r="I10" s="7"/>
      <c r="J10" s="7" t="n">
        <f aca="false">H10+I10*$I$8</f>
        <v>12</v>
      </c>
      <c r="K10" s="7" t="n">
        <f aca="false">D10-J10</f>
        <v>4</v>
      </c>
    </row>
    <row r="11" customFormat="false" ht="15" hidden="false" customHeight="false" outlineLevel="0" collapsed="false">
      <c r="A11" s="7" t="s">
        <v>86</v>
      </c>
      <c r="B11" s="7" t="s">
        <v>84</v>
      </c>
      <c r="C11" s="7" t="s">
        <v>87</v>
      </c>
      <c r="D11" s="7" t="n">
        <v>13</v>
      </c>
      <c r="E11" s="7"/>
      <c r="F11" s="7" t="n">
        <f aca="false">E11*$E$8</f>
        <v>0</v>
      </c>
      <c r="G11" s="7" t="n">
        <v>1</v>
      </c>
      <c r="H11" s="7" t="n">
        <f aca="false">F11+G11*$G$8</f>
        <v>4</v>
      </c>
      <c r="I11" s="7" t="n">
        <v>1</v>
      </c>
      <c r="J11" s="7" t="n">
        <f aca="false">H11+I11*$I$8</f>
        <v>11</v>
      </c>
      <c r="K11" s="7" t="n">
        <f aca="false">D11-J11</f>
        <v>2</v>
      </c>
    </row>
    <row r="12" customFormat="false" ht="15" hidden="false" customHeight="false" outlineLevel="0" collapsed="false">
      <c r="A12" s="7" t="s">
        <v>88</v>
      </c>
      <c r="B12" s="7" t="s">
        <v>85</v>
      </c>
      <c r="C12" s="7" t="s">
        <v>89</v>
      </c>
      <c r="D12" s="7" t="n">
        <v>12</v>
      </c>
      <c r="E12" s="7" t="n">
        <v>1</v>
      </c>
      <c r="F12" s="7" t="n">
        <f aca="false">E12*$E$8</f>
        <v>12</v>
      </c>
      <c r="G12" s="7"/>
      <c r="H12" s="7" t="n">
        <f aca="false">F12+G12*$G$8</f>
        <v>12</v>
      </c>
      <c r="I12" s="7"/>
      <c r="J12" s="7" t="n">
        <f aca="false">H12+I12*$I$8</f>
        <v>12</v>
      </c>
      <c r="K12" s="7" t="n">
        <f aca="false">D12-J12</f>
        <v>0</v>
      </c>
    </row>
    <row r="13" customFormat="false" ht="15" hidden="false" customHeight="false" outlineLevel="0" collapsed="false">
      <c r="A13" s="7" t="s">
        <v>90</v>
      </c>
      <c r="B13" s="7" t="s">
        <v>85</v>
      </c>
      <c r="C13" s="7" t="s">
        <v>87</v>
      </c>
      <c r="D13" s="7" t="n">
        <v>10</v>
      </c>
      <c r="E13" s="7"/>
      <c r="F13" s="7" t="n">
        <f aca="false">E13*$E$8</f>
        <v>0</v>
      </c>
      <c r="G13" s="7"/>
      <c r="H13" s="7" t="n">
        <f aca="false">F13+G13*$G$8</f>
        <v>0</v>
      </c>
      <c r="I13" s="7"/>
      <c r="J13" s="7" t="n">
        <f aca="false">H13+I13*$I$8</f>
        <v>0</v>
      </c>
      <c r="K13" s="7" t="n">
        <f aca="false">D13-J13</f>
        <v>10</v>
      </c>
    </row>
    <row r="14" customFormat="false" ht="15" hidden="false" customHeight="false" outlineLevel="0" collapsed="false">
      <c r="A14" s="7" t="s">
        <v>91</v>
      </c>
      <c r="B14" s="7" t="s">
        <v>87</v>
      </c>
      <c r="C14" s="7" t="s">
        <v>89</v>
      </c>
      <c r="D14" s="7" t="n">
        <v>4</v>
      </c>
      <c r="E14" s="7"/>
      <c r="F14" s="7" t="n">
        <f aca="false">E14*$E$8</f>
        <v>0</v>
      </c>
      <c r="G14" s="7" t="n">
        <v>1</v>
      </c>
      <c r="H14" s="7" t="n">
        <f aca="false">F14+G14*$G$8</f>
        <v>4</v>
      </c>
      <c r="I14" s="7"/>
      <c r="J14" s="7" t="n">
        <f aca="false">H14+I14*$I$8</f>
        <v>4</v>
      </c>
      <c r="K14" s="7" t="n">
        <f aca="false">D14-J14</f>
        <v>0</v>
      </c>
    </row>
    <row r="15" customFormat="false" ht="15" hidden="false" customHeight="false" outlineLevel="0" collapsed="false">
      <c r="A15" s="7" t="s">
        <v>92</v>
      </c>
      <c r="B15" s="7" t="s">
        <v>87</v>
      </c>
      <c r="C15" s="7" t="s">
        <v>93</v>
      </c>
      <c r="D15" s="7" t="n">
        <v>14</v>
      </c>
      <c r="E15" s="7"/>
      <c r="F15" s="7" t="n">
        <f aca="false">E15*$E$8</f>
        <v>0</v>
      </c>
      <c r="G15" s="7"/>
      <c r="H15" s="7" t="n">
        <f aca="false">F15+G15*$G$8</f>
        <v>0</v>
      </c>
      <c r="I15" s="7" t="n">
        <v>1</v>
      </c>
      <c r="J15" s="7" t="n">
        <f aca="false">H15+I15*$I$8</f>
        <v>7</v>
      </c>
      <c r="K15" s="7" t="n">
        <f aca="false">D15-J15</f>
        <v>7</v>
      </c>
    </row>
    <row r="16" customFormat="false" ht="15" hidden="false" customHeight="false" outlineLevel="0" collapsed="false">
      <c r="A16" s="7" t="s">
        <v>94</v>
      </c>
      <c r="B16" s="7" t="s">
        <v>89</v>
      </c>
      <c r="C16" s="7" t="s">
        <v>93</v>
      </c>
      <c r="D16" s="7" t="n">
        <v>9</v>
      </c>
      <c r="E16" s="7"/>
      <c r="F16" s="7" t="n">
        <f aca="false">E16*$E$8</f>
        <v>0</v>
      </c>
      <c r="G16" s="7"/>
      <c r="H16" s="7" t="n">
        <f aca="false">F16+G16*$G$8</f>
        <v>0</v>
      </c>
      <c r="I16" s="7"/>
      <c r="J16" s="7" t="n">
        <f aca="false">H16+I16*$I$8</f>
        <v>0</v>
      </c>
      <c r="K16" s="7" t="n">
        <f aca="false">D16-J16</f>
        <v>9</v>
      </c>
    </row>
    <row r="17" customFormat="false" ht="15" hidden="false" customHeight="false" outlineLevel="0" collapsed="false">
      <c r="A17" s="7" t="s">
        <v>95</v>
      </c>
      <c r="B17" s="7" t="s">
        <v>89</v>
      </c>
      <c r="C17" s="7" t="s">
        <v>96</v>
      </c>
      <c r="D17" s="7" t="n">
        <v>20</v>
      </c>
      <c r="E17" s="7" t="n">
        <v>1</v>
      </c>
      <c r="F17" s="7" t="n">
        <f aca="false">E17*$E$8</f>
        <v>12</v>
      </c>
      <c r="G17" s="7" t="n">
        <v>1</v>
      </c>
      <c r="H17" s="7" t="n">
        <f aca="false">F17+G17*$G$8</f>
        <v>16</v>
      </c>
      <c r="I17" s="7"/>
      <c r="J17" s="7" t="n">
        <f aca="false">H17+I17*$I$8</f>
        <v>16</v>
      </c>
      <c r="K17" s="7" t="n">
        <f aca="false">D17-J17</f>
        <v>4</v>
      </c>
    </row>
    <row r="18" customFormat="false" ht="15" hidden="false" customHeight="false" outlineLevel="0" collapsed="false">
      <c r="A18" s="7" t="s">
        <v>97</v>
      </c>
      <c r="B18" s="7" t="s">
        <v>93</v>
      </c>
      <c r="C18" s="7" t="s">
        <v>96</v>
      </c>
      <c r="D18" s="7" t="n">
        <v>7</v>
      </c>
      <c r="E18" s="7"/>
      <c r="F18" s="7" t="n">
        <f aca="false">E18*$E$8</f>
        <v>0</v>
      </c>
      <c r="G18" s="7"/>
      <c r="H18" s="7" t="n">
        <f aca="false">F18+G18*$G$8</f>
        <v>0</v>
      </c>
      <c r="I18" s="7" t="n">
        <v>1</v>
      </c>
      <c r="J18" s="7" t="n">
        <f aca="false">H18+I18*$I$8</f>
        <v>7</v>
      </c>
      <c r="K18" s="7" t="n">
        <f aca="false">D18-J18</f>
        <v>0</v>
      </c>
    </row>
    <row r="20" customFormat="false" ht="15" hidden="false" customHeight="false" outlineLevel="0" collapsed="false">
      <c r="A20" s="2" t="s">
        <v>98</v>
      </c>
      <c r="E20" s="3" t="n">
        <f aca="false">J17+J18</f>
        <v>23</v>
      </c>
    </row>
    <row r="22" customFormat="false" ht="15" hidden="false" customHeight="false" outlineLevel="0" collapsed="false">
      <c r="A22" s="2" t="s">
        <v>99</v>
      </c>
    </row>
    <row r="23" customFormat="false" ht="15" hidden="false" customHeight="false" outlineLevel="0" collapsed="false">
      <c r="A23" s="1" t="s">
        <v>100</v>
      </c>
    </row>
    <row r="24" customFormat="false" ht="15" hidden="false" customHeight="false" outlineLevel="0" collapsed="false">
      <c r="A24" s="1" t="s">
        <v>101</v>
      </c>
    </row>
    <row r="25" customFormat="false" ht="15" hidden="false" customHeight="false" outlineLevel="0" collapsed="false">
      <c r="A25" s="2" t="s">
        <v>102</v>
      </c>
      <c r="E25" s="3" t="n">
        <f aca="false">D12+D14+D18</f>
        <v>23</v>
      </c>
    </row>
    <row r="26" customFormat="false" ht="15" hidden="false" customHeight="false" outlineLevel="0" collapsed="false">
      <c r="A26" s="1" t="s">
        <v>103</v>
      </c>
    </row>
    <row r="31" customFormat="false" ht="15" hidden="false" customHeight="false" outlineLevel="0" collapsed="false">
      <c r="A31" s="2" t="s">
        <v>104</v>
      </c>
    </row>
    <row r="34" customFormat="false" ht="15" hidden="false" customHeight="false" outlineLevel="0" collapsed="false">
      <c r="A34" s="3" t="s">
        <v>73</v>
      </c>
      <c r="B34" s="3" t="s">
        <v>74</v>
      </c>
      <c r="C34" s="3" t="s">
        <v>75</v>
      </c>
      <c r="D34" s="3" t="s">
        <v>49</v>
      </c>
      <c r="E34" s="3" t="s">
        <v>105</v>
      </c>
      <c r="F34" s="3" t="s">
        <v>51</v>
      </c>
    </row>
    <row r="35" customFormat="false" ht="15" hidden="false" customHeight="false" outlineLevel="0" collapsed="false">
      <c r="A35" s="7" t="s">
        <v>83</v>
      </c>
      <c r="B35" s="7" t="s">
        <v>84</v>
      </c>
      <c r="C35" s="7" t="s">
        <v>85</v>
      </c>
      <c r="D35" s="7" t="n">
        <v>16</v>
      </c>
      <c r="E35" s="7" t="n">
        <v>12</v>
      </c>
      <c r="F35" s="7" t="str">
        <f aca="false">IF(AND(E35&lt;=D35,E35&gt;=0),"Terpenuhi","Melanggar")</f>
        <v>Terpenuhi</v>
      </c>
    </row>
    <row r="36" customFormat="false" ht="15" hidden="false" customHeight="false" outlineLevel="0" collapsed="false">
      <c r="A36" s="7" t="s">
        <v>86</v>
      </c>
      <c r="B36" s="7" t="s">
        <v>84</v>
      </c>
      <c r="C36" s="7" t="s">
        <v>87</v>
      </c>
      <c r="D36" s="7" t="n">
        <v>13</v>
      </c>
      <c r="E36" s="7" t="n">
        <v>11</v>
      </c>
      <c r="F36" s="7" t="str">
        <f aca="false">IF(AND(E36&lt;=D36,E36&gt;=0),"Terpenuhi","Melanggar")</f>
        <v>Terpenuhi</v>
      </c>
    </row>
    <row r="37" customFormat="false" ht="15" hidden="false" customHeight="false" outlineLevel="0" collapsed="false">
      <c r="A37" s="7" t="s">
        <v>88</v>
      </c>
      <c r="B37" s="7" t="s">
        <v>85</v>
      </c>
      <c r="C37" s="7" t="s">
        <v>89</v>
      </c>
      <c r="D37" s="7" t="n">
        <v>12</v>
      </c>
      <c r="E37" s="7" t="n">
        <v>12</v>
      </c>
      <c r="F37" s="7" t="str">
        <f aca="false">IF(AND(E37&lt;=D37,E37&gt;=0),"Terpenuhi","Melanggar")</f>
        <v>Terpenuhi</v>
      </c>
    </row>
    <row r="38" customFormat="false" ht="15" hidden="false" customHeight="false" outlineLevel="0" collapsed="false">
      <c r="A38" s="7" t="s">
        <v>90</v>
      </c>
      <c r="B38" s="7" t="s">
        <v>85</v>
      </c>
      <c r="C38" s="7" t="s">
        <v>87</v>
      </c>
      <c r="D38" s="7" t="n">
        <v>10</v>
      </c>
      <c r="E38" s="7" t="n">
        <v>0</v>
      </c>
      <c r="F38" s="7" t="str">
        <f aca="false">IF(AND(E38&lt;=D38,E38&gt;=0),"Terpenuhi","Melanggar")</f>
        <v>Terpenuhi</v>
      </c>
    </row>
    <row r="39" customFormat="false" ht="15" hidden="false" customHeight="false" outlineLevel="0" collapsed="false">
      <c r="A39" s="7" t="s">
        <v>91</v>
      </c>
      <c r="B39" s="7" t="s">
        <v>87</v>
      </c>
      <c r="C39" s="7" t="s">
        <v>89</v>
      </c>
      <c r="D39" s="7" t="n">
        <v>4</v>
      </c>
      <c r="E39" s="7" t="n">
        <v>4</v>
      </c>
      <c r="F39" s="7" t="str">
        <f aca="false">IF(AND(E39&lt;=D39,E39&gt;=0),"Terpenuhi","Melanggar")</f>
        <v>Terpenuhi</v>
      </c>
    </row>
    <row r="40" customFormat="false" ht="15" hidden="false" customHeight="false" outlineLevel="0" collapsed="false">
      <c r="A40" s="7" t="s">
        <v>92</v>
      </c>
      <c r="B40" s="7" t="s">
        <v>87</v>
      </c>
      <c r="C40" s="7" t="s">
        <v>93</v>
      </c>
      <c r="D40" s="7" t="n">
        <v>14</v>
      </c>
      <c r="E40" s="7" t="n">
        <v>7</v>
      </c>
      <c r="F40" s="7" t="str">
        <f aca="false">IF(AND(E40&lt;=D40,E40&gt;=0),"Terpenuhi","Melanggar")</f>
        <v>Terpenuhi</v>
      </c>
    </row>
    <row r="41" customFormat="false" ht="15" hidden="false" customHeight="false" outlineLevel="0" collapsed="false">
      <c r="A41" s="7" t="s">
        <v>94</v>
      </c>
      <c r="B41" s="7" t="s">
        <v>89</v>
      </c>
      <c r="C41" s="7" t="s">
        <v>93</v>
      </c>
      <c r="D41" s="7" t="n">
        <v>9</v>
      </c>
      <c r="E41" s="7" t="n">
        <v>0</v>
      </c>
      <c r="F41" s="7" t="str">
        <f aca="false">IF(AND(E41&lt;=D41,E41&gt;=0),"Terpenuhi","Melanggar")</f>
        <v>Terpenuhi</v>
      </c>
    </row>
    <row r="42" customFormat="false" ht="15" hidden="false" customHeight="false" outlineLevel="0" collapsed="false">
      <c r="A42" s="7" t="s">
        <v>95</v>
      </c>
      <c r="B42" s="7" t="s">
        <v>89</v>
      </c>
      <c r="C42" s="7" t="s">
        <v>96</v>
      </c>
      <c r="D42" s="7" t="n">
        <v>20</v>
      </c>
      <c r="E42" s="7" t="n">
        <v>16</v>
      </c>
      <c r="F42" s="7" t="str">
        <f aca="false">IF(AND(E42&lt;=D42,E42&gt;=0),"Terpenuhi","Melanggar")</f>
        <v>Terpenuhi</v>
      </c>
    </row>
    <row r="43" customFormat="false" ht="15" hidden="false" customHeight="false" outlineLevel="0" collapsed="false">
      <c r="A43" s="7" t="s">
        <v>97</v>
      </c>
      <c r="B43" s="7" t="s">
        <v>93</v>
      </c>
      <c r="C43" s="7" t="s">
        <v>96</v>
      </c>
      <c r="D43" s="7" t="n">
        <v>7</v>
      </c>
      <c r="E43" s="7" t="n">
        <v>7</v>
      </c>
      <c r="F43" s="7" t="str">
        <f aca="false">IF(AND(E43&lt;=D43,E43&gt;=0),"Terpenuhi","Melanggar")</f>
        <v>Terpenuhi</v>
      </c>
    </row>
    <row r="46" customFormat="false" ht="15" hidden="false" customHeight="false" outlineLevel="0" collapsed="false">
      <c r="A46" s="3" t="s">
        <v>106</v>
      </c>
      <c r="B46" s="3" t="s">
        <v>107</v>
      </c>
      <c r="C46" s="3" t="s">
        <v>108</v>
      </c>
      <c r="D46" s="3" t="s">
        <v>109</v>
      </c>
    </row>
    <row r="47" customFormat="false" ht="15" hidden="false" customHeight="false" outlineLevel="0" collapsed="false">
      <c r="A47" s="7" t="s">
        <v>84</v>
      </c>
      <c r="B47" s="7" t="n">
        <f aca="false">SUMIF($C$35:$C$43,A47,$E$35:$E$43)</f>
        <v>0</v>
      </c>
      <c r="C47" s="7" t="n">
        <f aca="false">SUMIF($B$35:$B$43,A47,$E$35:$E$43)</f>
        <v>23</v>
      </c>
      <c r="D47" s="7" t="n">
        <f aca="false">C47-B47</f>
        <v>23</v>
      </c>
    </row>
    <row r="48" customFormat="false" ht="15" hidden="false" customHeight="false" outlineLevel="0" collapsed="false">
      <c r="A48" s="7" t="s">
        <v>85</v>
      </c>
      <c r="B48" s="7" t="n">
        <f aca="false">SUMIF($C$35:$C$43,A48,$E$35:$E$43)</f>
        <v>12</v>
      </c>
      <c r="C48" s="7" t="n">
        <f aca="false">SUMIF($B$35:$B$43,A48,$E$35:$E$43)</f>
        <v>12</v>
      </c>
      <c r="D48" s="7" t="n">
        <f aca="false">C48-B48</f>
        <v>0</v>
      </c>
    </row>
    <row r="49" customFormat="false" ht="15" hidden="false" customHeight="false" outlineLevel="0" collapsed="false">
      <c r="A49" s="7" t="s">
        <v>87</v>
      </c>
      <c r="B49" s="7" t="n">
        <f aca="false">SUMIF($C$35:$C$43,A49,$E$35:$E$43)</f>
        <v>11</v>
      </c>
      <c r="C49" s="7" t="n">
        <f aca="false">SUMIF($B$35:$B$43,A49,$E$35:$E$43)</f>
        <v>11</v>
      </c>
      <c r="D49" s="7" t="n">
        <f aca="false">C49-B49</f>
        <v>0</v>
      </c>
    </row>
    <row r="50" customFormat="false" ht="15" hidden="false" customHeight="false" outlineLevel="0" collapsed="false">
      <c r="A50" s="7" t="s">
        <v>89</v>
      </c>
      <c r="B50" s="7" t="n">
        <f aca="false">SUMIF($C$35:$C$43,A50,$E$35:$E$43)</f>
        <v>16</v>
      </c>
      <c r="C50" s="7" t="n">
        <f aca="false">SUMIF($B$35:$B$43,A50,$E$35:$E$43)</f>
        <v>16</v>
      </c>
      <c r="D50" s="7" t="n">
        <f aca="false">C50-B50</f>
        <v>0</v>
      </c>
    </row>
    <row r="51" customFormat="false" ht="15" hidden="false" customHeight="false" outlineLevel="0" collapsed="false">
      <c r="A51" s="7" t="s">
        <v>93</v>
      </c>
      <c r="B51" s="7" t="n">
        <f aca="false">SUMIF($C$35:$C$43,A51,$E$35:$E$43)</f>
        <v>7</v>
      </c>
      <c r="C51" s="7" t="n">
        <f aca="false">SUMIF($B$35:$B$43,A51,$E$35:$E$43)</f>
        <v>7</v>
      </c>
      <c r="D51" s="7" t="n">
        <f aca="false">C51-B51</f>
        <v>0</v>
      </c>
    </row>
    <row r="52" customFormat="false" ht="15" hidden="false" customHeight="false" outlineLevel="0" collapsed="false">
      <c r="A52" s="7" t="s">
        <v>96</v>
      </c>
      <c r="B52" s="7" t="n">
        <f aca="false">SUMIF($C$35:$C$43,A52,$E$35:$E$43)</f>
        <v>23</v>
      </c>
      <c r="C52" s="7" t="n">
        <f aca="false">SUMIF($B$35:$B$43,A52,$E$35:$E$43)</f>
        <v>0</v>
      </c>
      <c r="D52" s="7" t="n">
        <f aca="false">C52-B52</f>
        <v>-23</v>
      </c>
    </row>
    <row r="54" customFormat="false" ht="15" hidden="false" customHeight="false" outlineLevel="0" collapsed="false">
      <c r="A54" s="8" t="s">
        <v>110</v>
      </c>
      <c r="B54" s="3" t="n">
        <f aca="false">C47</f>
        <v>23</v>
      </c>
    </row>
    <row r="56" customFormat="false" ht="15" hidden="false" customHeight="false" outlineLevel="0" collapsed="false">
      <c r="A56" s="2" t="s">
        <v>58</v>
      </c>
    </row>
    <row r="57" customFormat="false" ht="15" hidden="false" customHeight="false" outlineLevel="0" collapsed="false">
      <c r="A57" s="1" t="s">
        <v>111</v>
      </c>
    </row>
    <row r="58" customFormat="false" ht="15" hidden="false" customHeight="false" outlineLevel="0" collapsed="false">
      <c r="A58" s="1" t="s">
        <v>112</v>
      </c>
    </row>
    <row r="59" customFormat="false" ht="15" hidden="false" customHeight="false" outlineLevel="0" collapsed="false">
      <c r="A59" s="1" t="s">
        <v>113</v>
      </c>
    </row>
    <row r="60" customFormat="false" ht="15" hidden="false" customHeight="false" outlineLevel="0" collapsed="false">
      <c r="A60" s="1" t="s">
        <v>114</v>
      </c>
    </row>
    <row r="61" customFormat="false" ht="15" hidden="false" customHeight="false" outlineLevel="0" collapsed="false">
      <c r="A61" s="1" t="s">
        <v>62</v>
      </c>
    </row>
    <row r="62" customFormat="false" ht="15" hidden="false" customHeight="false" outlineLevel="0" collapsed="false">
      <c r="A62" s="1" t="s">
        <v>63</v>
      </c>
    </row>
    <row r="63" customFormat="false" ht="15" hidden="false" customHeight="false" outlineLevel="0" collapsed="false">
      <c r="A63" s="1" t="s">
        <v>115</v>
      </c>
    </row>
    <row r="64" customFormat="false" ht="15" hidden="false" customHeight="false" outlineLevel="0" collapsed="false">
      <c r="A64" s="1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2026-10-10T07:34:31Z</dcterms:created>
  <dc:creator>openpyxl</dc:creator>
  <dc:description/>
  <dc:language>en-US</dc:language>
  <cp:lastModifiedBy/>
  <dcterms:modified xsi:type="dcterms:W3CDTF">2026-10-10T07:34:31Z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